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Raw Responses" sheetId="2" state="visible" r:id="rId4"/>
    <sheet name="Demographics Summary" sheetId="3" state="visible" r:id="rId5"/>
    <sheet name="Likert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<sst xmlns="http://schemas.openxmlformats.org/spreadsheetml/2006/main" count="129" uniqueCount="90">
  <si>
    <t xml:space="preserve">Signyales Survey Analysis Template — Legend</t>
  </si>
  <si>
    <t xml:space="preserve">How to use this workbook</t>
  </si>
  <si>
    <t xml:space="preserve">1. Export/copy Google Forms responses into the 'Raw Responses' sheet, matching the column order exactly.</t>
  </si>
  <si>
    <t xml:space="preserve">2. Enter one row per respondent. Column order matches the Research Instrument document's item order.</t>
  </si>
  <si>
    <t xml:space="preserve">3. 'Demographics Summary' and 'Likert Analysis' update automatically — no manual copying needed.</t>
  </si>
  <si>
    <t xml:space="preserve">4. Likert items are scored 1 (Strongly Disagree) to 5 (Strongly Agree), matching the Research Instrument.</t>
  </si>
  <si>
    <t xml:space="preserve">5. Yellow-filled cells are the only cells meant to be edited directly; every other cell is a formula.</t>
  </si>
  <si>
    <t xml:space="preserve">Weighted Mean Interpretation Scale</t>
  </si>
  <si>
    <t xml:space="preserve">Range Low</t>
  </si>
  <si>
    <t xml:space="preserve">Range High</t>
  </si>
  <si>
    <t xml:space="preserve">Verbal Interpretation</t>
  </si>
  <si>
    <t xml:space="preserve">Strongly Agree</t>
  </si>
  <si>
    <t xml:space="preserve">Agree</t>
  </si>
  <si>
    <t xml:space="preserve">Neutral</t>
  </si>
  <si>
    <t xml:space="preserve">Disagree</t>
  </si>
  <si>
    <t xml:space="preserve">Strongly Disagree</t>
  </si>
  <si>
    <t xml:space="preserve">Paste/enter one row per respondent below, in this exact column order.</t>
  </si>
  <si>
    <t xml:space="preserve">Respondent ID</t>
  </si>
  <si>
    <t xml:space="preserve">Timestamp</t>
  </si>
  <si>
    <t xml:space="preserve">Age Bracket</t>
  </si>
  <si>
    <t xml:space="preserve">Sex</t>
  </si>
  <si>
    <t xml:space="preserve">Hearing Status</t>
  </si>
  <si>
    <t xml:space="preserve">FSL Proficiency</t>
  </si>
  <si>
    <t xml:space="preserve">Prior AT Experience</t>
  </si>
  <si>
    <t xml:space="preserve">PU1</t>
  </si>
  <si>
    <t xml:space="preserve">PU2</t>
  </si>
  <si>
    <t xml:space="preserve">PU3</t>
  </si>
  <si>
    <t xml:space="preserve">PEOU1</t>
  </si>
  <si>
    <t xml:space="preserve">PEOU2</t>
  </si>
  <si>
    <t xml:space="preserve">PEOU3</t>
  </si>
  <si>
    <t xml:space="preserve">SYSQ1</t>
  </si>
  <si>
    <t xml:space="preserve">SYSQ2</t>
  </si>
  <si>
    <t xml:space="preserve">SYSQ3</t>
  </si>
  <si>
    <t xml:space="preserve">BI1</t>
  </si>
  <si>
    <t xml:space="preserve">BI2</t>
  </si>
  <si>
    <t xml:space="preserve">BI3</t>
  </si>
  <si>
    <t xml:space="preserve">Open1_Liked</t>
  </si>
  <si>
    <t xml:space="preserve">Open2_Difficulties</t>
  </si>
  <si>
    <t xml:space="preserve">Open3_Suggestions</t>
  </si>
  <si>
    <t xml:space="preserve">EXAMPLE-DELETE</t>
  </si>
  <si>
    <t xml:space="preserve">2026-01-01 10:00:00</t>
  </si>
  <si>
    <t xml:space="preserve">18-25</t>
  </si>
  <si>
    <t xml:space="preserve">Female</t>
  </si>
  <si>
    <t xml:space="preserve">Deaf</t>
  </si>
  <si>
    <t xml:space="preserve">Intermediate</t>
  </si>
  <si>
    <t xml:space="preserve">No</t>
  </si>
  <si>
    <t xml:space="preserve">Fast and easy to understand.</t>
  </si>
  <si>
    <t xml:space="preserve">Occasionally missed fast signs.</t>
  </si>
  <si>
    <t xml:space="preserve">Add more vocabulary.</t>
  </si>
  <si>
    <t xml:space="preserve">Demographics Summary (auto-computed from Raw Responses)</t>
  </si>
  <si>
    <t xml:space="preserve">Category</t>
  </si>
  <si>
    <t xml:space="preserve">Frequency</t>
  </si>
  <si>
    <t xml:space="preserve">Percentage</t>
  </si>
  <si>
    <t xml:space="preserve">Under 18</t>
  </si>
  <si>
    <t xml:space="preserve">26-35</t>
  </si>
  <si>
    <t xml:space="preserve">36-45</t>
  </si>
  <si>
    <t xml:space="preserve">46 and above</t>
  </si>
  <si>
    <t xml:space="preserve">Total</t>
  </si>
  <si>
    <t xml:space="preserve">Male</t>
  </si>
  <si>
    <t xml:space="preserve">Prefer not to say</t>
  </si>
  <si>
    <t xml:space="preserve">Hard of hearing</t>
  </si>
  <si>
    <t xml:space="preserve">Hearing</t>
  </si>
  <si>
    <t xml:space="preserve">Beginner</t>
  </si>
  <si>
    <t xml:space="preserve">Advanced/Fluent</t>
  </si>
  <si>
    <t xml:space="preserve">Yes</t>
  </si>
  <si>
    <t xml:space="preserve">Likert Item Analysis (auto-computed from Raw Responses)</t>
  </si>
  <si>
    <t xml:space="preserve">Scale: 1 = Strongly Disagree … 5 = Strongly Agree</t>
  </si>
  <si>
    <t xml:space="preserve">Code</t>
  </si>
  <si>
    <t xml:space="preserve">Statement</t>
  </si>
  <si>
    <t xml:space="preserve">f(1)</t>
  </si>
  <si>
    <t xml:space="preserve">f(2)</t>
  </si>
  <si>
    <t xml:space="preserve">f(3)</t>
  </si>
  <si>
    <t xml:space="preserve">f(4)</t>
  </si>
  <si>
    <t xml:space="preserve">f(5)</t>
  </si>
  <si>
    <t xml:space="preserve">N</t>
  </si>
  <si>
    <t xml:space="preserve">Weighted Mean</t>
  </si>
  <si>
    <t xml:space="preserve">SD</t>
  </si>
  <si>
    <t xml:space="preserve">The device helps me communicate more effectively using FSL.</t>
  </si>
  <si>
    <t xml:space="preserve">Using this device improves my ability to interact with non-signers.</t>
  </si>
  <si>
    <t xml:space="preserve">The device provides accurate translations of the signs I perform.</t>
  </si>
  <si>
    <t xml:space="preserve">Learning to use the device was easy for me.</t>
  </si>
  <si>
    <t xml:space="preserve">The device is comfortable to wear for extended periods.</t>
  </si>
  <si>
    <t xml:space="preserve">I can easily understand how to calibrate and operate the device.</t>
  </si>
  <si>
    <t xml:space="preserve">The device recognized my gestures quickly.</t>
  </si>
  <si>
    <t xml:space="preserve">The spoken output was clear and understandable.</t>
  </si>
  <si>
    <t xml:space="preserve">The device worked reliably throughout my testing session.</t>
  </si>
  <si>
    <t xml:space="preserve">I would be willing to use this device regularly if it were available.</t>
  </si>
  <si>
    <t xml:space="preserve">I would recommend this device to others who use sign language.</t>
  </si>
  <si>
    <t xml:space="preserve">Overall, I am satisfied with the device's performance.</t>
  </si>
  <si>
    <t xml:space="preserve">Overall Weighted Mean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</si>
</sst>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AEAEA"/>
        <bgColor rgb="FFFFF9C4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9C4"/>
      <rgbColor rgb="FFEAEA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23.85" hidden="false" customHeight="false" outlineLevel="0" collapsed="false">
      <c r="A12" s="4" t="s">
        <v>8</v>
      </c>
      <c r="B12" s="4" t="s">
        <v>9</v>
      </c>
      <c r="C12" s="4" t="s">
        <v>10</v>
      </c>
    </row>
    <row r="13" customFormat="false" ht="15" hidden="false" customHeight="false" outlineLevel="0" collapsed="false">
      <c r="A13" s="5" t="n">
        <v>4.2</v>
      </c>
      <c r="B13" s="5" t="n">
        <v>5</v>
      </c>
      <c r="C13" s="5" t="s">
        <v>11</v>
      </c>
    </row>
    <row r="14" customFormat="false" ht="15" hidden="false" customHeight="false" outlineLevel="0" collapsed="false">
      <c r="A14" s="5" t="n">
        <v>3.4</v>
      </c>
      <c r="B14" s="5" t="n">
        <v>4.19</v>
      </c>
      <c r="C14" s="5" t="s">
        <v>12</v>
      </c>
    </row>
    <row r="15" customFormat="false" ht="15" hidden="false" customHeight="false" outlineLevel="0" collapsed="false">
      <c r="A15" s="5" t="n">
        <v>2.6</v>
      </c>
      <c r="B15" s="5" t="n">
        <v>3.39</v>
      </c>
      <c r="C15" s="5" t="s">
        <v>13</v>
      </c>
    </row>
    <row r="16" customFormat="false" ht="15" hidden="false" customHeight="false" outlineLevel="0" collapsed="false">
      <c r="A16" s="5" t="n">
        <v>1.8</v>
      </c>
      <c r="B16" s="5" t="n">
        <v>2.59</v>
      </c>
      <c r="C16" s="5" t="s">
        <v>14</v>
      </c>
    </row>
    <row r="17" customFormat="false" ht="15" hidden="false" customHeight="false" outlineLevel="0" collapsed="false">
      <c r="A17" s="5" t="n">
        <v>1</v>
      </c>
      <c r="B17" s="5" t="n">
        <v>1.79</v>
      </c>
      <c r="C17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22" min="3" style="0" width="13"/>
  </cols>
  <sheetData>
    <row r="1" customFormat="false" ht="15" hidden="false" customHeight="false" outlineLevel="0" collapsed="false">
      <c r="A1" s="6" t="s">
        <v>16</v>
      </c>
    </row>
    <row r="2" customFormat="false" ht="23.85" hidden="false" customHeight="false" outlineLevel="0" collapsed="false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4" t="s">
        <v>36</v>
      </c>
      <c r="U2" s="4" t="s">
        <v>37</v>
      </c>
      <c r="V2" s="4" t="s">
        <v>38</v>
      </c>
    </row>
    <row r="3" customFormat="false" ht="15" hidden="false" customHeight="false" outlineLevel="0" collapsed="false">
      <c r="A3" s="7" t="s">
        <v>39</v>
      </c>
      <c r="B3" s="7" t="s">
        <v>40</v>
      </c>
      <c r="C3" s="7" t="s">
        <v>41</v>
      </c>
      <c r="D3" s="7" t="s">
        <v>42</v>
      </c>
      <c r="E3" s="7" t="s">
        <v>43</v>
      </c>
      <c r="F3" s="7" t="s">
        <v>44</v>
      </c>
      <c r="G3" s="7" t="s">
        <v>45</v>
      </c>
      <c r="H3" s="7" t="n">
        <v>4</v>
      </c>
      <c r="I3" s="7" t="n">
        <v>5</v>
      </c>
      <c r="J3" s="7" t="n">
        <v>4</v>
      </c>
      <c r="K3" s="7" t="n">
        <v>4</v>
      </c>
      <c r="L3" s="7" t="n">
        <v>5</v>
      </c>
      <c r="M3" s="7" t="n">
        <v>4</v>
      </c>
      <c r="N3" s="7" t="n">
        <v>4</v>
      </c>
      <c r="O3" s="7" t="n">
        <v>5</v>
      </c>
      <c r="P3" s="7" t="n">
        <v>4</v>
      </c>
      <c r="Q3" s="7" t="n">
        <v>4</v>
      </c>
      <c r="R3" s="7" t="n">
        <v>5</v>
      </c>
      <c r="S3" s="7" t="n">
        <v>5</v>
      </c>
      <c r="T3" s="7" t="s">
        <v>46</v>
      </c>
      <c r="U3" s="7" t="s">
        <v>47</v>
      </c>
      <c r="V3" s="7" t="s">
        <v>48</v>
      </c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9" t="s">
        <v>49</v>
      </c>
    </row>
    <row r="3" customFormat="false" ht="15" hidden="false" customHeight="false" outlineLevel="0" collapsed="false">
      <c r="A3" s="2" t="s">
        <v>19</v>
      </c>
    </row>
    <row r="4" customFormat="false" ht="15" hidden="false" customHeight="false" outlineLevel="0" collapsed="false">
      <c r="A4" s="4" t="s">
        <v>50</v>
      </c>
      <c r="B4" s="4" t="s">
        <v>51</v>
      </c>
      <c r="C4" s="4" t="s">
        <v>52</v>
      </c>
    </row>
    <row r="5" customFormat="false" ht="15" hidden="false" customHeight="false" outlineLevel="0" collapsed="false">
      <c r="A5" s="5" t="s">
        <v>53</v>
      </c>
      <c r="B5" s="5" t="n">
        <f aca="false">COUNTIF('Raw Responses'!C$3:C$202,A5)</f>
        <v>0</v>
      </c>
      <c r="C5" s="10" t="n">
        <f aca="false">IFERROR(B5/$B$10,0)</f>
        <v>0</v>
      </c>
    </row>
    <row r="6" customFormat="false" ht="15" hidden="false" customHeight="false" outlineLevel="0" collapsed="false">
      <c r="A6" s="5" t="s">
        <v>41</v>
      </c>
      <c r="B6" s="5" t="n">
        <f aca="false">COUNTIF('Raw Responses'!C$3:C$202,A6)</f>
        <v>1</v>
      </c>
      <c r="C6" s="10" t="n">
        <f aca="false">IFERROR(B6/$B$10,0)</f>
        <v>1</v>
      </c>
    </row>
    <row r="7" customFormat="false" ht="15" hidden="false" customHeight="false" outlineLevel="0" collapsed="false">
      <c r="A7" s="5" t="s">
        <v>54</v>
      </c>
      <c r="B7" s="5" t="n">
        <f aca="false">COUNTIF('Raw Responses'!C$3:C$202,A7)</f>
        <v>0</v>
      </c>
      <c r="C7" s="10" t="n">
        <f aca="false">IFERROR(B7/$B$10,0)</f>
        <v>0</v>
      </c>
    </row>
    <row r="8" customFormat="false" ht="15" hidden="false" customHeight="false" outlineLevel="0" collapsed="false">
      <c r="A8" s="5" t="s">
        <v>55</v>
      </c>
      <c r="B8" s="5" t="n">
        <f aca="false">COUNTIF('Raw Responses'!C$3:C$202,A8)</f>
        <v>0</v>
      </c>
      <c r="C8" s="10" t="n">
        <f aca="false">IFERROR(B8/$B$10,0)</f>
        <v>0</v>
      </c>
    </row>
    <row r="9" customFormat="false" ht="15" hidden="false" customHeight="false" outlineLevel="0" collapsed="false">
      <c r="A9" s="5" t="s">
        <v>56</v>
      </c>
      <c r="B9" s="5" t="n">
        <f aca="false">COUNTIF('Raw Responses'!C$3:C$202,A9)</f>
        <v>0</v>
      </c>
      <c r="C9" s="10" t="n">
        <f aca="false">IFERROR(B9/$B$10,0)</f>
        <v>0</v>
      </c>
    </row>
    <row r="10" customFormat="false" ht="15" hidden="false" customHeight="false" outlineLevel="0" collapsed="false">
      <c r="A10" s="2" t="s">
        <v>57</v>
      </c>
      <c r="B10" s="2" t="n">
        <f aca="false">SUM(B5:B9)</f>
        <v>1</v>
      </c>
    </row>
    <row r="13" customFormat="false" ht="15" hidden="false" customHeight="false" outlineLevel="0" collapsed="false">
      <c r="A13" s="2" t="s">
        <v>20</v>
      </c>
    </row>
    <row r="14" customFormat="false" ht="15" hidden="false" customHeight="false" outlineLevel="0" collapsed="false">
      <c r="A14" s="4" t="s">
        <v>50</v>
      </c>
      <c r="B14" s="4" t="s">
        <v>51</v>
      </c>
      <c r="C14" s="4" t="s">
        <v>52</v>
      </c>
    </row>
    <row r="15" customFormat="false" ht="15" hidden="false" customHeight="false" outlineLevel="0" collapsed="false">
      <c r="A15" s="5" t="s">
        <v>58</v>
      </c>
      <c r="B15" s="5" t="n">
        <f aca="false">COUNTIF('Raw Responses'!D$3:D$202,A15)</f>
        <v>0</v>
      </c>
      <c r="C15" s="10" t="n">
        <f aca="false">IFERROR(B15/$B$18,0)</f>
        <v>0</v>
      </c>
    </row>
    <row r="16" customFormat="false" ht="15" hidden="false" customHeight="false" outlineLevel="0" collapsed="false">
      <c r="A16" s="5" t="s">
        <v>42</v>
      </c>
      <c r="B16" s="5" t="n">
        <f aca="false">COUNTIF('Raw Responses'!D$3:D$202,A16)</f>
        <v>1</v>
      </c>
      <c r="C16" s="10" t="n">
        <f aca="false">IFERROR(B16/$B$18,0)</f>
        <v>1</v>
      </c>
    </row>
    <row r="17" customFormat="false" ht="15" hidden="false" customHeight="false" outlineLevel="0" collapsed="false">
      <c r="A17" s="5" t="s">
        <v>59</v>
      </c>
      <c r="B17" s="5" t="n">
        <f aca="false">COUNTIF('Raw Responses'!D$3:D$202,A17)</f>
        <v>0</v>
      </c>
      <c r="C17" s="10" t="n">
        <f aca="false">IFERROR(B17/$B$18,0)</f>
        <v>0</v>
      </c>
    </row>
    <row r="18" customFormat="false" ht="15" hidden="false" customHeight="false" outlineLevel="0" collapsed="false">
      <c r="A18" s="2" t="s">
        <v>57</v>
      </c>
      <c r="B18" s="2" t="n">
        <f aca="false">SUM(B15:B17)</f>
        <v>1</v>
      </c>
    </row>
    <row r="21" customFormat="false" ht="15" hidden="false" customHeight="false" outlineLevel="0" collapsed="false">
      <c r="A21" s="2" t="s">
        <v>21</v>
      </c>
    </row>
    <row r="22" customFormat="false" ht="15" hidden="false" customHeight="false" outlineLevel="0" collapsed="false">
      <c r="A22" s="4" t="s">
        <v>50</v>
      </c>
      <c r="B22" s="4" t="s">
        <v>51</v>
      </c>
      <c r="C22" s="4" t="s">
        <v>52</v>
      </c>
    </row>
    <row r="23" customFormat="false" ht="15" hidden="false" customHeight="false" outlineLevel="0" collapsed="false">
      <c r="A23" s="5" t="s">
        <v>43</v>
      </c>
      <c r="B23" s="5" t="n">
        <f aca="false">COUNTIF('Raw Responses'!E$3:E$202,A23)</f>
        <v>1</v>
      </c>
      <c r="C23" s="10" t="n">
        <f aca="false">IFERROR(B23/$B$26,0)</f>
        <v>1</v>
      </c>
    </row>
    <row r="24" customFormat="false" ht="15" hidden="false" customHeight="false" outlineLevel="0" collapsed="false">
      <c r="A24" s="5" t="s">
        <v>60</v>
      </c>
      <c r="B24" s="5" t="n">
        <f aca="false">COUNTIF('Raw Responses'!E$3:E$202,A24)</f>
        <v>0</v>
      </c>
      <c r="C24" s="10" t="n">
        <f aca="false">IFERROR(B24/$B$26,0)</f>
        <v>0</v>
      </c>
    </row>
    <row r="25" customFormat="false" ht="15" hidden="false" customHeight="false" outlineLevel="0" collapsed="false">
      <c r="A25" s="5" t="s">
        <v>61</v>
      </c>
      <c r="B25" s="5" t="n">
        <f aca="false">COUNTIF('Raw Responses'!E$3:E$202,A25)</f>
        <v>0</v>
      </c>
      <c r="C25" s="10" t="n">
        <f aca="false">IFERROR(B25/$B$26,0)</f>
        <v>0</v>
      </c>
    </row>
    <row r="26" customFormat="false" ht="15" hidden="false" customHeight="false" outlineLevel="0" collapsed="false">
      <c r="A26" s="2" t="s">
        <v>57</v>
      </c>
      <c r="B26" s="2" t="n">
        <f aca="false">SUM(B23:B25)</f>
        <v>1</v>
      </c>
    </row>
    <row r="29" customFormat="false" ht="15" hidden="false" customHeight="false" outlineLevel="0" collapsed="false">
      <c r="A29" s="2" t="s">
        <v>22</v>
      </c>
    </row>
    <row r="30" customFormat="false" ht="15" hidden="false" customHeight="false" outlineLevel="0" collapsed="false">
      <c r="A30" s="4" t="s">
        <v>50</v>
      </c>
      <c r="B30" s="4" t="s">
        <v>51</v>
      </c>
      <c r="C30" s="4" t="s">
        <v>52</v>
      </c>
    </row>
    <row r="31" customFormat="false" ht="15" hidden="false" customHeight="false" outlineLevel="0" collapsed="false">
      <c r="A31" s="5" t="s">
        <v>62</v>
      </c>
      <c r="B31" s="5" t="n">
        <f aca="false">COUNTIF('Raw Responses'!F$3:F$202,A31)</f>
        <v>0</v>
      </c>
      <c r="C31" s="10" t="n">
        <f aca="false">IFERROR(B31/$B$34,0)</f>
        <v>0</v>
      </c>
    </row>
    <row r="32" customFormat="false" ht="15" hidden="false" customHeight="false" outlineLevel="0" collapsed="false">
      <c r="A32" s="5" t="s">
        <v>44</v>
      </c>
      <c r="B32" s="5" t="n">
        <f aca="false">COUNTIF('Raw Responses'!F$3:F$202,A32)</f>
        <v>1</v>
      </c>
      <c r="C32" s="10" t="n">
        <f aca="false">IFERROR(B32/$B$34,0)</f>
        <v>1</v>
      </c>
    </row>
    <row r="33" customFormat="false" ht="15" hidden="false" customHeight="false" outlineLevel="0" collapsed="false">
      <c r="A33" s="5" t="s">
        <v>63</v>
      </c>
      <c r="B33" s="5" t="n">
        <f aca="false">COUNTIF('Raw Responses'!F$3:F$202,A33)</f>
        <v>0</v>
      </c>
      <c r="C33" s="10" t="n">
        <f aca="false">IFERROR(B33/$B$34,0)</f>
        <v>0</v>
      </c>
    </row>
    <row r="34" customFormat="false" ht="15" hidden="false" customHeight="false" outlineLevel="0" collapsed="false">
      <c r="A34" s="2" t="s">
        <v>57</v>
      </c>
      <c r="B34" s="2" t="n">
        <f aca="false">SUM(B31:B33)</f>
        <v>1</v>
      </c>
    </row>
    <row r="37" customFormat="false" ht="15" hidden="false" customHeight="false" outlineLevel="0" collapsed="false">
      <c r="A37" s="2" t="s">
        <v>23</v>
      </c>
    </row>
    <row r="38" customFormat="false" ht="15" hidden="false" customHeight="false" outlineLevel="0" collapsed="false">
      <c r="A38" s="4" t="s">
        <v>50</v>
      </c>
      <c r="B38" s="4" t="s">
        <v>51</v>
      </c>
      <c r="C38" s="4" t="s">
        <v>52</v>
      </c>
    </row>
    <row r="39" customFormat="false" ht="15" hidden="false" customHeight="false" outlineLevel="0" collapsed="false">
      <c r="A39" s="5" t="s">
        <v>64</v>
      </c>
      <c r="B39" s="5" t="n">
        <f aca="false">COUNTIF('Raw Responses'!G$3:G$202,A39)</f>
        <v>0</v>
      </c>
      <c r="C39" s="10" t="n">
        <f aca="false">IFERROR(B39/$B$41,0)</f>
        <v>0</v>
      </c>
    </row>
    <row r="40" customFormat="false" ht="15" hidden="false" customHeight="false" outlineLevel="0" collapsed="false">
      <c r="A40" s="5" t="s">
        <v>45</v>
      </c>
      <c r="B40" s="5" t="n">
        <f aca="false">COUNTIF('Raw Responses'!G$3:G$202,A40)</f>
        <v>1</v>
      </c>
      <c r="C40" s="10" t="n">
        <f aca="false">IFERROR(B40/$B$41,0)</f>
        <v>1</v>
      </c>
    </row>
    <row r="41" customFormat="false" ht="15" hidden="false" customHeight="false" outlineLevel="0" collapsed="false">
      <c r="A41" s="2" t="s">
        <v>57</v>
      </c>
      <c r="B41" s="2" t="n">
        <f aca="false">SUM(B39:B40)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8" min="3" style="0" width="6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20"/>
  </cols>
  <sheetData>
    <row r="1" customFormat="false" ht="15" hidden="false" customHeight="false" outlineLevel="0" collapsed="false">
      <c r="A1" s="9" t="s">
        <v>65</v>
      </c>
    </row>
    <row r="2" customFormat="false" ht="15" hidden="false" customHeight="false" outlineLevel="0" collapsed="false">
      <c r="A2" s="6" t="s">
        <v>66</v>
      </c>
    </row>
    <row r="4" customFormat="false" ht="15" hidden="false" customHeight="false" outlineLevel="0" collapsed="false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  <c r="G4" s="4" t="s">
        <v>73</v>
      </c>
      <c r="H4" s="4" t="s">
        <v>74</v>
      </c>
      <c r="I4" s="4" t="s">
        <v>75</v>
      </c>
      <c r="J4" s="4" t="s">
        <v>76</v>
      </c>
      <c r="K4" s="4" t="s">
        <v>10</v>
      </c>
    </row>
    <row r="5" customFormat="false" ht="15" hidden="false" customHeight="false" outlineLevel="0" collapsed="false">
      <c r="A5" s="5" t="s">
        <v>24</v>
      </c>
      <c r="B5" s="5" t="s">
        <v>77</v>
      </c>
      <c r="C5" s="5" t="n">
        <f aca="false">COUNTIF('Raw Responses'!H$3:H$202,1)</f>
        <v>0</v>
      </c>
      <c r="D5" s="5" t="n">
        <f aca="false">COUNTIF('Raw Responses'!H$3:H$202,2)</f>
        <v>0</v>
      </c>
      <c r="E5" s="5" t="n">
        <f aca="false">COUNTIF('Raw Responses'!H$3:H$202,3)</f>
        <v>0</v>
      </c>
      <c r="F5" s="5" t="n">
        <f aca="false">COUNTIF('Raw Responses'!H$3:H$202,4)</f>
        <v>1</v>
      </c>
      <c r="G5" s="5" t="n">
        <f aca="false">COUNTIF('Raw Responses'!H$3:H$202,5)</f>
        <v>0</v>
      </c>
      <c r="H5" s="5" t="n">
        <f aca="false">SUM(C5:G5)</f>
        <v>1</v>
      </c>
      <c r="I5" s="11" t="n">
        <f aca="false">IFERROR(SUMPRODUCT(C5:G5,{1,2,3,4,5})/H5,0)</f>
        <v>4</v>
      </c>
      <c r="J5" s="11" t="n">
        <f aca="false">IFERROR(stdev.s('Raw Responses'!H$3:H$202),0)</f>
        <v>0</v>
      </c>
      <c r="K5" s="5" t="str">
        <f aca="false">IF(H5=0,"",IF(I5&gt;=Legend!$A$13,Legend!$C$13,IF(I5&gt;=Legend!$A$14,Legend!$C$14,IF(I5&gt;=Legend!$A$15,Legend!$C$15,IF(I5&gt;=Legend!$A$16,Legend!$C$16,IF(I5&gt;=Legend!$A$17,Legend!$C$17,""))))))</f>
        <v>Agree</v>
      </c>
    </row>
    <row r="6" customFormat="false" ht="15" hidden="false" customHeight="false" outlineLevel="0" collapsed="false">
      <c r="A6" s="5" t="s">
        <v>25</v>
      </c>
      <c r="B6" s="5" t="s">
        <v>78</v>
      </c>
      <c r="C6" s="5" t="n">
        <f aca="false">COUNTIF('Raw Responses'!I$3:I$202,1)</f>
        <v>0</v>
      </c>
      <c r="D6" s="5" t="n">
        <f aca="false">COUNTIF('Raw Responses'!I$3:I$202,2)</f>
        <v>0</v>
      </c>
      <c r="E6" s="5" t="n">
        <f aca="false">COUNTIF('Raw Responses'!I$3:I$202,3)</f>
        <v>0</v>
      </c>
      <c r="F6" s="5" t="n">
        <f aca="false">COUNTIF('Raw Responses'!I$3:I$202,4)</f>
        <v>0</v>
      </c>
      <c r="G6" s="5" t="n">
        <f aca="false">COUNTIF('Raw Responses'!I$3:I$202,5)</f>
        <v>1</v>
      </c>
      <c r="H6" s="5" t="n">
        <f aca="false">SUM(C6:G6)</f>
        <v>1</v>
      </c>
      <c r="I6" s="11" t="n">
        <f aca="false">IFERROR(SUMPRODUCT(C6:G6,{1,2,3,4,5})/H6,0)</f>
        <v>5</v>
      </c>
      <c r="J6" s="11" t="n">
        <f aca="false">IFERROR(stdev.s('Raw Responses'!I$3:I$202),0)</f>
        <v>0</v>
      </c>
      <c r="K6" s="5" t="str">
        <f aca="false">IF(H6=0,"",IF(I6&gt;=Legend!$A$13,Legend!$C$13,IF(I6&gt;=Legend!$A$14,Legend!$C$14,IF(I6&gt;=Legend!$A$15,Legend!$C$15,IF(I6&gt;=Legend!$A$16,Legend!$C$16,IF(I6&gt;=Legend!$A$17,Legend!$C$17,""))))))</f>
        <v>Strongly Agree</v>
      </c>
    </row>
    <row r="7" customFormat="false" ht="15" hidden="false" customHeight="false" outlineLevel="0" collapsed="false">
      <c r="A7" s="5" t="s">
        <v>26</v>
      </c>
      <c r="B7" s="5" t="s">
        <v>79</v>
      </c>
      <c r="C7" s="5" t="n">
        <f aca="false">COUNTIF('Raw Responses'!J$3:J$202,1)</f>
        <v>0</v>
      </c>
      <c r="D7" s="5" t="n">
        <f aca="false">COUNTIF('Raw Responses'!J$3:J$202,2)</f>
        <v>0</v>
      </c>
      <c r="E7" s="5" t="n">
        <f aca="false">COUNTIF('Raw Responses'!J$3:J$202,3)</f>
        <v>0</v>
      </c>
      <c r="F7" s="5" t="n">
        <f aca="false">COUNTIF('Raw Responses'!J$3:J$202,4)</f>
        <v>1</v>
      </c>
      <c r="G7" s="5" t="n">
        <f aca="false">COUNTIF('Raw Responses'!J$3:J$202,5)</f>
        <v>0</v>
      </c>
      <c r="H7" s="5" t="n">
        <f aca="false">SUM(C7:G7)</f>
        <v>1</v>
      </c>
      <c r="I7" s="11" t="n">
        <f aca="false">IFERROR(SUMPRODUCT(C7:G7,{1,2,3,4,5})/H7,0)</f>
        <v>4</v>
      </c>
      <c r="J7" s="11" t="n">
        <f aca="false">IFERROR(stdev.s('Raw Responses'!J$3:J$202),0)</f>
        <v>0</v>
      </c>
      <c r="K7" s="5" t="str">
        <f aca="false">IF(H7=0,"",IF(I7&gt;=Legend!$A$13,Legend!$C$13,IF(I7&gt;=Legend!$A$14,Legend!$C$14,IF(I7&gt;=Legend!$A$15,Legend!$C$15,IF(I7&gt;=Legend!$A$16,Legend!$C$16,IF(I7&gt;=Legend!$A$17,Legend!$C$17,""))))))</f>
        <v>Agree</v>
      </c>
    </row>
    <row r="8" customFormat="false" ht="15" hidden="false" customHeight="false" outlineLevel="0" collapsed="false">
      <c r="A8" s="5" t="s">
        <v>27</v>
      </c>
      <c r="B8" s="5" t="s">
        <v>80</v>
      </c>
      <c r="C8" s="5" t="n">
        <f aca="false">COUNTIF('Raw Responses'!K$3:K$202,1)</f>
        <v>0</v>
      </c>
      <c r="D8" s="5" t="n">
        <f aca="false">COUNTIF('Raw Responses'!K$3:K$202,2)</f>
        <v>0</v>
      </c>
      <c r="E8" s="5" t="n">
        <f aca="false">COUNTIF('Raw Responses'!K$3:K$202,3)</f>
        <v>0</v>
      </c>
      <c r="F8" s="5" t="n">
        <f aca="false">COUNTIF('Raw Responses'!K$3:K$202,4)</f>
        <v>1</v>
      </c>
      <c r="G8" s="5" t="n">
        <f aca="false">COUNTIF('Raw Responses'!K$3:K$202,5)</f>
        <v>0</v>
      </c>
      <c r="H8" s="5" t="n">
        <f aca="false">SUM(C8:G8)</f>
        <v>1</v>
      </c>
      <c r="I8" s="11" t="n">
        <f aca="false">IFERROR(SUMPRODUCT(C8:G8,{1,2,3,4,5})/H8,0)</f>
        <v>4</v>
      </c>
      <c r="J8" s="11" t="n">
        <f aca="false">IFERROR(stdev.s('Raw Responses'!K$3:K$202),0)</f>
        <v>0</v>
      </c>
      <c r="K8" s="5" t="str">
        <f aca="false">IF(H8=0,"",IF(I8&gt;=Legend!$A$13,Legend!$C$13,IF(I8&gt;=Legend!$A$14,Legend!$C$14,IF(I8&gt;=Legend!$A$15,Legend!$C$15,IF(I8&gt;=Legend!$A$16,Legend!$C$16,IF(I8&gt;=Legend!$A$17,Legend!$C$17,""))))))</f>
        <v>Agree</v>
      </c>
    </row>
    <row r="9" customFormat="false" ht="15" hidden="false" customHeight="false" outlineLevel="0" collapsed="false">
      <c r="A9" s="5" t="s">
        <v>28</v>
      </c>
      <c r="B9" s="5" t="s">
        <v>81</v>
      </c>
      <c r="C9" s="5" t="n">
        <f aca="false">COUNTIF('Raw Responses'!L$3:L$202,1)</f>
        <v>0</v>
      </c>
      <c r="D9" s="5" t="n">
        <f aca="false">COUNTIF('Raw Responses'!L$3:L$202,2)</f>
        <v>0</v>
      </c>
      <c r="E9" s="5" t="n">
        <f aca="false">COUNTIF('Raw Responses'!L$3:L$202,3)</f>
        <v>0</v>
      </c>
      <c r="F9" s="5" t="n">
        <f aca="false">COUNTIF('Raw Responses'!L$3:L$202,4)</f>
        <v>0</v>
      </c>
      <c r="G9" s="5" t="n">
        <f aca="false">COUNTIF('Raw Responses'!L$3:L$202,5)</f>
        <v>1</v>
      </c>
      <c r="H9" s="5" t="n">
        <f aca="false">SUM(C9:G9)</f>
        <v>1</v>
      </c>
      <c r="I9" s="11" t="n">
        <f aca="false">IFERROR(SUMPRODUCT(C9:G9,{1,2,3,4,5})/H9,0)</f>
        <v>5</v>
      </c>
      <c r="J9" s="11" t="n">
        <f aca="false">IFERROR(stdev.s('Raw Responses'!L$3:L$202),0)</f>
        <v>0</v>
      </c>
      <c r="K9" s="5" t="str">
        <f aca="false">IF(H9=0,"",IF(I9&gt;=Legend!$A$13,Legend!$C$13,IF(I9&gt;=Legend!$A$14,Legend!$C$14,IF(I9&gt;=Legend!$A$15,Legend!$C$15,IF(I9&gt;=Legend!$A$16,Legend!$C$16,IF(I9&gt;=Legend!$A$17,Legend!$C$17,""))))))</f>
        <v>Strongly Agree</v>
      </c>
    </row>
    <row r="10" customFormat="false" ht="15" hidden="false" customHeight="false" outlineLevel="0" collapsed="false">
      <c r="A10" s="5" t="s">
        <v>29</v>
      </c>
      <c r="B10" s="5" t="s">
        <v>82</v>
      </c>
      <c r="C10" s="5" t="n">
        <f aca="false">COUNTIF('Raw Responses'!M$3:M$202,1)</f>
        <v>0</v>
      </c>
      <c r="D10" s="5" t="n">
        <f aca="false">COUNTIF('Raw Responses'!M$3:M$202,2)</f>
        <v>0</v>
      </c>
      <c r="E10" s="5" t="n">
        <f aca="false">COUNTIF('Raw Responses'!M$3:M$202,3)</f>
        <v>0</v>
      </c>
      <c r="F10" s="5" t="n">
        <f aca="false">COUNTIF('Raw Responses'!M$3:M$202,4)</f>
        <v>1</v>
      </c>
      <c r="G10" s="5" t="n">
        <f aca="false">COUNTIF('Raw Responses'!M$3:M$202,5)</f>
        <v>0</v>
      </c>
      <c r="H10" s="5" t="n">
        <f aca="false">SUM(C10:G10)</f>
        <v>1</v>
      </c>
      <c r="I10" s="11" t="n">
        <f aca="false">IFERROR(SUMPRODUCT(C10:G10,{1,2,3,4,5})/H10,0)</f>
        <v>4</v>
      </c>
      <c r="J10" s="11" t="n">
        <f aca="false">IFERROR(stdev.s('Raw Responses'!M$3:M$202),0)</f>
        <v>0</v>
      </c>
      <c r="K10" s="5" t="str">
        <f aca="false">IF(H10=0,"",IF(I10&gt;=Legend!$A$13,Legend!$C$13,IF(I10&gt;=Legend!$A$14,Legend!$C$14,IF(I10&gt;=Legend!$A$15,Legend!$C$15,IF(I10&gt;=Legend!$A$16,Legend!$C$16,IF(I10&gt;=Legend!$A$17,Legend!$C$17,""))))))</f>
        <v>Agree</v>
      </c>
    </row>
    <row r="11" customFormat="false" ht="15" hidden="false" customHeight="false" outlineLevel="0" collapsed="false">
      <c r="A11" s="5" t="s">
        <v>30</v>
      </c>
      <c r="B11" s="5" t="s">
        <v>83</v>
      </c>
      <c r="C11" s="5" t="n">
        <f aca="false">COUNTIF('Raw Responses'!N$3:N$202,1)</f>
        <v>0</v>
      </c>
      <c r="D11" s="5" t="n">
        <f aca="false">COUNTIF('Raw Responses'!N$3:N$202,2)</f>
        <v>0</v>
      </c>
      <c r="E11" s="5" t="n">
        <f aca="false">COUNTIF('Raw Responses'!N$3:N$202,3)</f>
        <v>0</v>
      </c>
      <c r="F11" s="5" t="n">
        <f aca="false">COUNTIF('Raw Responses'!N$3:N$202,4)</f>
        <v>1</v>
      </c>
      <c r="G11" s="5" t="n">
        <f aca="false">COUNTIF('Raw Responses'!N$3:N$202,5)</f>
        <v>0</v>
      </c>
      <c r="H11" s="5" t="n">
        <f aca="false">SUM(C11:G11)</f>
        <v>1</v>
      </c>
      <c r="I11" s="11" t="n">
        <f aca="false">IFERROR(SUMPRODUCT(C11:G11,{1,2,3,4,5})/H11,0)</f>
        <v>4</v>
      </c>
      <c r="J11" s="11" t="n">
        <f aca="false">IFERROR(stdev.s('Raw Responses'!N$3:N$202),0)</f>
        <v>0</v>
      </c>
      <c r="K11" s="5" t="str">
        <f aca="false">IF(H11=0,"",IF(I11&gt;=Legend!$A$13,Legend!$C$13,IF(I11&gt;=Legend!$A$14,Legend!$C$14,IF(I11&gt;=Legend!$A$15,Legend!$C$15,IF(I11&gt;=Legend!$A$16,Legend!$C$16,IF(I11&gt;=Legend!$A$17,Legend!$C$17,""))))))</f>
        <v>Agree</v>
      </c>
    </row>
    <row r="12" customFormat="false" ht="15" hidden="false" customHeight="false" outlineLevel="0" collapsed="false">
      <c r="A12" s="5" t="s">
        <v>31</v>
      </c>
      <c r="B12" s="5" t="s">
        <v>84</v>
      </c>
      <c r="C12" s="5" t="n">
        <f aca="false">COUNTIF('Raw Responses'!O$3:O$202,1)</f>
        <v>0</v>
      </c>
      <c r="D12" s="5" t="n">
        <f aca="false">COUNTIF('Raw Responses'!O$3:O$202,2)</f>
        <v>0</v>
      </c>
      <c r="E12" s="5" t="n">
        <f aca="false">COUNTIF('Raw Responses'!O$3:O$202,3)</f>
        <v>0</v>
      </c>
      <c r="F12" s="5" t="n">
        <f aca="false">COUNTIF('Raw Responses'!O$3:O$202,4)</f>
        <v>0</v>
      </c>
      <c r="G12" s="5" t="n">
        <f aca="false">COUNTIF('Raw Responses'!O$3:O$202,5)</f>
        <v>1</v>
      </c>
      <c r="H12" s="5" t="n">
        <f aca="false">SUM(C12:G12)</f>
        <v>1</v>
      </c>
      <c r="I12" s="11" t="n">
        <f aca="false">IFERROR(SUMPRODUCT(C12:G12,{1,2,3,4,5})/H12,0)</f>
        <v>5</v>
      </c>
      <c r="J12" s="11" t="n">
        <f aca="false">IFERROR(stdev.s('Raw Responses'!O$3:O$202),0)</f>
        <v>0</v>
      </c>
      <c r="K12" s="5" t="str">
        <f aca="false">IF(H12=0,"",IF(I12&gt;=Legend!$A$13,Legend!$C$13,IF(I12&gt;=Legend!$A$14,Legend!$C$14,IF(I12&gt;=Legend!$A$15,Legend!$C$15,IF(I12&gt;=Legend!$A$16,Legend!$C$16,IF(I12&gt;=Legend!$A$17,Legend!$C$17,""))))))</f>
        <v>Strongly Agree</v>
      </c>
    </row>
    <row r="13" customFormat="false" ht="15" hidden="false" customHeight="false" outlineLevel="0" collapsed="false">
      <c r="A13" s="5" t="s">
        <v>32</v>
      </c>
      <c r="B13" s="5" t="s">
        <v>85</v>
      </c>
      <c r="C13" s="5" t="n">
        <f aca="false">COUNTIF('Raw Responses'!P$3:P$202,1)</f>
        <v>0</v>
      </c>
      <c r="D13" s="5" t="n">
        <f aca="false">COUNTIF('Raw Responses'!P$3:P$202,2)</f>
        <v>0</v>
      </c>
      <c r="E13" s="5" t="n">
        <f aca="false">COUNTIF('Raw Responses'!P$3:P$202,3)</f>
        <v>0</v>
      </c>
      <c r="F13" s="5" t="n">
        <f aca="false">COUNTIF('Raw Responses'!P$3:P$202,4)</f>
        <v>1</v>
      </c>
      <c r="G13" s="5" t="n">
        <f aca="false">COUNTIF('Raw Responses'!P$3:P$202,5)</f>
        <v>0</v>
      </c>
      <c r="H13" s="5" t="n">
        <f aca="false">SUM(C13:G13)</f>
        <v>1</v>
      </c>
      <c r="I13" s="11" t="n">
        <f aca="false">IFERROR(SUMPRODUCT(C13:G13,{1,2,3,4,5})/H13,0)</f>
        <v>4</v>
      </c>
      <c r="J13" s="11" t="n">
        <f aca="false">IFERROR(stdev.s('Raw Responses'!P$3:P$202),0)</f>
        <v>0</v>
      </c>
      <c r="K13" s="5" t="str">
        <f aca="false">IF(H13=0,"",IF(I13&gt;=Legend!$A$13,Legend!$C$13,IF(I13&gt;=Legend!$A$14,Legend!$C$14,IF(I13&gt;=Legend!$A$15,Legend!$C$15,IF(I13&gt;=Legend!$A$16,Legend!$C$16,IF(I13&gt;=Legend!$A$17,Legend!$C$17,""))))))</f>
        <v>Agree</v>
      </c>
    </row>
    <row r="14" customFormat="false" ht="15" hidden="false" customHeight="false" outlineLevel="0" collapsed="false">
      <c r="A14" s="5" t="s">
        <v>33</v>
      </c>
      <c r="B14" s="5" t="s">
        <v>86</v>
      </c>
      <c r="C14" s="5" t="n">
        <f aca="false">COUNTIF('Raw Responses'!Q$3:Q$202,1)</f>
        <v>0</v>
      </c>
      <c r="D14" s="5" t="n">
        <f aca="false">COUNTIF('Raw Responses'!Q$3:Q$202,2)</f>
        <v>0</v>
      </c>
      <c r="E14" s="5" t="n">
        <f aca="false">COUNTIF('Raw Responses'!Q$3:Q$202,3)</f>
        <v>0</v>
      </c>
      <c r="F14" s="5" t="n">
        <f aca="false">COUNTIF('Raw Responses'!Q$3:Q$202,4)</f>
        <v>1</v>
      </c>
      <c r="G14" s="5" t="n">
        <f aca="false">COUNTIF('Raw Responses'!Q$3:Q$202,5)</f>
        <v>0</v>
      </c>
      <c r="H14" s="5" t="n">
        <f aca="false">SUM(C14:G14)</f>
        <v>1</v>
      </c>
      <c r="I14" s="11" t="n">
        <f aca="false">IFERROR(SUMPRODUCT(C14:G14,{1,2,3,4,5})/H14,0)</f>
        <v>4</v>
      </c>
      <c r="J14" s="11" t="n">
        <f aca="false">IFERROR(stdev.s('Raw Responses'!Q$3:Q$202),0)</f>
        <v>0</v>
      </c>
      <c r="K14" s="5" t="str">
        <f aca="false">IF(H14=0,"",IF(I14&gt;=Legend!$A$13,Legend!$C$13,IF(I14&gt;=Legend!$A$14,Legend!$C$14,IF(I14&gt;=Legend!$A$15,Legend!$C$15,IF(I14&gt;=Legend!$A$16,Legend!$C$16,IF(I14&gt;=Legend!$A$17,Legend!$C$17,""))))))</f>
        <v>Agree</v>
      </c>
    </row>
    <row r="15" customFormat="false" ht="15" hidden="false" customHeight="false" outlineLevel="0" collapsed="false">
      <c r="A15" s="5" t="s">
        <v>34</v>
      </c>
      <c r="B15" s="5" t="s">
        <v>87</v>
      </c>
      <c r="C15" s="5" t="n">
        <f aca="false">COUNTIF('Raw Responses'!R$3:R$202,1)</f>
        <v>0</v>
      </c>
      <c r="D15" s="5" t="n">
        <f aca="false">COUNTIF('Raw Responses'!R$3:R$202,2)</f>
        <v>0</v>
      </c>
      <c r="E15" s="5" t="n">
        <f aca="false">COUNTIF('Raw Responses'!R$3:R$202,3)</f>
        <v>0</v>
      </c>
      <c r="F15" s="5" t="n">
        <f aca="false">COUNTIF('Raw Responses'!R$3:R$202,4)</f>
        <v>0</v>
      </c>
      <c r="G15" s="5" t="n">
        <f aca="false">COUNTIF('Raw Responses'!R$3:R$202,5)</f>
        <v>1</v>
      </c>
      <c r="H15" s="5" t="n">
        <f aca="false">SUM(C15:G15)</f>
        <v>1</v>
      </c>
      <c r="I15" s="11" t="n">
        <f aca="false">IFERROR(SUMPRODUCT(C15:G15,{1,2,3,4,5})/H15,0)</f>
        <v>5</v>
      </c>
      <c r="J15" s="11" t="n">
        <f aca="false">IFERROR(stdev.s('Raw Responses'!R$3:R$202),0)</f>
        <v>0</v>
      </c>
      <c r="K15" s="5" t="str">
        <f aca="false">IF(H15=0,"",IF(I15&gt;=Legend!$A$13,Legend!$C$13,IF(I15&gt;=Legend!$A$14,Legend!$C$14,IF(I15&gt;=Legend!$A$15,Legend!$C$15,IF(I15&gt;=Legend!$A$16,Legend!$C$16,IF(I15&gt;=Legend!$A$17,Legend!$C$17,""))))))</f>
        <v>Strongly Agree</v>
      </c>
    </row>
    <row r="16" customFormat="false" ht="15" hidden="false" customHeight="false" outlineLevel="0" collapsed="false">
      <c r="A16" s="5" t="s">
        <v>35</v>
      </c>
      <c r="B16" s="5" t="s">
        <v>88</v>
      </c>
      <c r="C16" s="5" t="n">
        <f aca="false">COUNTIF('Raw Responses'!S$3:S$202,1)</f>
        <v>0</v>
      </c>
      <c r="D16" s="5" t="n">
        <f aca="false">COUNTIF('Raw Responses'!S$3:S$202,2)</f>
        <v>0</v>
      </c>
      <c r="E16" s="5" t="n">
        <f aca="false">COUNTIF('Raw Responses'!S$3:S$202,3)</f>
        <v>0</v>
      </c>
      <c r="F16" s="5" t="n">
        <f aca="false">COUNTIF('Raw Responses'!S$3:S$202,4)</f>
        <v>0</v>
      </c>
      <c r="G16" s="5" t="n">
        <f aca="false">COUNTIF('Raw Responses'!S$3:S$202,5)</f>
        <v>1</v>
      </c>
      <c r="H16" s="5" t="n">
        <f aca="false">SUM(C16:G16)</f>
        <v>1</v>
      </c>
      <c r="I16" s="11" t="n">
        <f aca="false">IFERROR(SUMPRODUCT(C16:G16,{1,2,3,4,5})/H16,0)</f>
        <v>5</v>
      </c>
      <c r="J16" s="11" t="n">
        <f aca="false">IFERROR(stdev.s('Raw Responses'!S$3:S$202),0)</f>
        <v>0</v>
      </c>
      <c r="K16" s="5" t="str">
        <f aca="false">IF(H16=0,"",IF(I16&gt;=Legend!$A$13,Legend!$C$13,IF(I16&gt;=Legend!$A$14,Legend!$C$14,IF(I16&gt;=Legend!$A$15,Legend!$C$15,IF(I16&gt;=Legend!$A$16,Legend!$C$16,IF(I16&gt;=Legend!$A$17,Legend!$C$17,""))))))</f>
        <v>Strongly Agree</v>
      </c>
    </row>
    <row r="18" customFormat="false" ht="15" hidden="false" customHeight="false" outlineLevel="0" collapsed="false">
      <c r="B18" s="2" t="s">
        <v>89</v>
      </c>
      <c r="I18" s="12" t="n">
        <f aca="false">AVERAGE(I5:I16)</f>
        <v>4.41666666666667</v>
      </c>
      <c r="K18" s="2" t="str">
        <f aca="false">IF(I18&gt;=Legend!$A$13,Legend!$C$13,IF(I18&gt;=Legend!$A$14,Legend!$C$14,IF(I18&gt;=Legend!$A$15,Legend!$C$15,IF(I18&gt;=Legend!$A$16,Legend!$C$16,IF(I18&gt;=Legend!$A$17,Legend!$C$17,"")))))</f>
        <v>Strongly Agree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2026-09-20T13:01:44Z</dcterms:created>
  <dc:creator>openpyxl</dc:creator>
  <dc:description/>
  <dc:language>en-US</dc:language>
  <cp:lastModifiedBy/>
  <dcterms:modified xsi:type="dcterms:W3CDTF">2026-09-20T13:01:44Z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